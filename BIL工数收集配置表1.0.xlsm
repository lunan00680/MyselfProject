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02RPA\BIL工数收集确认自动化\配置表\"/>
    </mc:Choice>
  </mc:AlternateContent>
  <xr:revisionPtr revIDLastSave="0" documentId="13_ncr:1_{161096E5-9805-4A89-9196-9ABA391AD7C3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Tool" sheetId="1" r:id="rId1"/>
    <sheet name="Config" sheetId="2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2" l="1"/>
  <c r="G12" i="1" l="1"/>
  <c r="H11" i="1"/>
  <c r="G11" i="1"/>
  <c r="B10" i="1"/>
  <c r="B11" i="1"/>
  <c r="H1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Lu, NanNan (BSH) 陆 楠楠</author>
  </authors>
  <commentList>
    <comment ref="D19" authorId="0" shapeId="0" xr:uid="{9F2B1F3A-54E1-4F60-BB97-3E5DCB55A7BB}">
      <text>
        <r>
          <rPr>
            <b/>
            <sz val="9"/>
            <color indexed="81"/>
            <rFont val="宋体"/>
            <family val="3"/>
            <charset val="134"/>
          </rPr>
          <t>Lu, NanNan (BSH) 陆 楠楠:</t>
        </r>
        <r>
          <rPr>
            <sz val="9"/>
            <color indexed="81"/>
            <rFont val="宋体"/>
            <family val="3"/>
            <charset val="134"/>
          </rPr>
          <t xml:space="preserve">
选择文件的表名称
</t>
        </r>
      </text>
    </comment>
  </commentList>
</comments>
</file>

<file path=xl/sharedStrings.xml><?xml version="1.0" encoding="utf-8"?>
<sst xmlns="http://schemas.openxmlformats.org/spreadsheetml/2006/main" count="112" uniqueCount="107">
  <si>
    <t>年</t>
    <phoneticPr fontId="5" type="noConversion"/>
  </si>
  <si>
    <t>月</t>
    <phoneticPr fontId="5" type="noConversion"/>
  </si>
  <si>
    <t>日</t>
    <phoneticPr fontId="5" type="noConversion"/>
  </si>
  <si>
    <t>按钮</t>
    <phoneticPr fontId="5" type="noConversion"/>
  </si>
  <si>
    <t>文件名称</t>
    <phoneticPr fontId="5" type="noConversion"/>
  </si>
  <si>
    <t>文件路径</t>
    <phoneticPr fontId="5" type="noConversion"/>
  </si>
  <si>
    <r>
      <rPr>
        <i/>
        <sz val="11"/>
        <color rgb="FF7F7F7F"/>
        <rFont val="Segoe UI Symbol"/>
        <family val="2"/>
      </rPr>
      <t>☛</t>
    </r>
    <r>
      <rPr>
        <i/>
        <sz val="11"/>
        <color rgb="FF7F7F7F"/>
        <rFont val="等线"/>
        <family val="3"/>
        <charset val="134"/>
        <scheme val="minor"/>
      </rPr>
      <t>检查数据正确性，点击开始</t>
    </r>
    <phoneticPr fontId="5" type="noConversion"/>
  </si>
  <si>
    <t>执行状态</t>
    <phoneticPr fontId="5" type="noConversion"/>
  </si>
  <si>
    <t>■BIL工数收集配置表</t>
    <phoneticPr fontId="5" type="noConversion"/>
  </si>
  <si>
    <t>BSH20</t>
    <phoneticPr fontId="5" type="noConversion"/>
  </si>
  <si>
    <t>2020</t>
  </si>
  <si>
    <t>开始日</t>
    <phoneticPr fontId="5" type="noConversion"/>
  </si>
  <si>
    <t>日</t>
  </si>
  <si>
    <t>结束日（结算日）</t>
    <phoneticPr fontId="5" type="noConversion"/>
  </si>
  <si>
    <t>報告稼働日:</t>
    <phoneticPr fontId="5" type="noConversion"/>
  </si>
  <si>
    <t>年月</t>
    <phoneticPr fontId="5" type="noConversion"/>
  </si>
  <si>
    <t>H</t>
    <phoneticPr fontId="5" type="noConversion"/>
  </si>
  <si>
    <r>
      <rPr>
        <i/>
        <sz val="11"/>
        <color rgb="FF7F7F7F"/>
        <rFont val="Segoe UI Symbol"/>
        <family val="2"/>
      </rPr>
      <t>☛</t>
    </r>
    <r>
      <rPr>
        <i/>
        <sz val="11"/>
        <color rgb="FF7F7F7F"/>
        <rFont val="等线"/>
        <family val="3"/>
        <charset val="134"/>
        <scheme val="minor"/>
      </rPr>
      <t>填写工作时间</t>
    </r>
    <phoneticPr fontId="5" type="noConversion"/>
  </si>
  <si>
    <t>结束日</t>
    <phoneticPr fontId="5" type="noConversion"/>
  </si>
  <si>
    <t>202001</t>
    <phoneticPr fontId="5" type="noConversion"/>
  </si>
  <si>
    <t>202002</t>
  </si>
  <si>
    <t>202003</t>
  </si>
  <si>
    <t>202004</t>
  </si>
  <si>
    <t>202005</t>
  </si>
  <si>
    <t>202006</t>
  </si>
  <si>
    <t>202007</t>
  </si>
  <si>
    <t>202008</t>
  </si>
  <si>
    <t>202009</t>
  </si>
  <si>
    <t>202010</t>
  </si>
  <si>
    <t>202011</t>
  </si>
  <si>
    <t>202012</t>
  </si>
  <si>
    <t>202101</t>
    <phoneticPr fontId="5" type="noConversion"/>
  </si>
  <si>
    <t>202102</t>
    <phoneticPr fontId="5" type="noConversion"/>
  </si>
  <si>
    <t>202103</t>
    <phoneticPr fontId="5" type="noConversion"/>
  </si>
  <si>
    <t>模板表</t>
    <phoneticPr fontId="5" type="noConversion"/>
  </si>
  <si>
    <t>01</t>
  </si>
  <si>
    <r>
      <rPr>
        <i/>
        <sz val="11"/>
        <color rgb="FF7F7F7F"/>
        <rFont val="Segoe UI Symbol"/>
        <family val="2"/>
      </rPr>
      <t>☛</t>
    </r>
    <r>
      <rPr>
        <i/>
        <sz val="11"/>
        <color rgb="FF7F7F7F"/>
        <rFont val="等线"/>
        <family val="3"/>
        <charset val="134"/>
        <scheme val="minor"/>
      </rPr>
      <t>填写作成日</t>
    </r>
    <r>
      <rPr>
        <i/>
        <sz val="11"/>
        <color rgb="FF7F7F7F"/>
        <rFont val="等线"/>
        <family val="2"/>
        <charset val="134"/>
        <scheme val="minor"/>
      </rPr>
      <t>和对应结算区间</t>
    </r>
    <phoneticPr fontId="5" type="noConversion"/>
  </si>
  <si>
    <t>BSHメカ工数実績報告_メカ確認後</t>
    <phoneticPr fontId="5" type="noConversion"/>
  </si>
  <si>
    <t>\\apngo-nara\Global_Dev\BSH_agreement\20.覚書</t>
  </si>
  <si>
    <t>\\apngo-nara\Global_Dev\BSH_agreement\10.工数計画表</t>
  </si>
  <si>
    <t>PS)LE開発部</t>
    <phoneticPr fontId="5" type="noConversion"/>
  </si>
  <si>
    <t>PS)IDS開発部</t>
  </si>
  <si>
    <t>NC)ネットワークシステム推進部</t>
  </si>
  <si>
    <t>E:\02RPA\BIL工数收集确认自动化\模板文件\BSHメカ工数実績報告_メカ確認後模板.xls</t>
    <phoneticPr fontId="5" type="noConversion"/>
  </si>
  <si>
    <t>E:\02RPA\BIL工数收集确认自动化\Result</t>
    <phoneticPr fontId="5" type="noConversion"/>
  </si>
  <si>
    <t>O</t>
    <phoneticPr fontId="5" type="noConversion"/>
  </si>
  <si>
    <t>P</t>
    <phoneticPr fontId="5" type="noConversion"/>
  </si>
  <si>
    <t>R</t>
    <phoneticPr fontId="5" type="noConversion"/>
  </si>
  <si>
    <t>S</t>
    <phoneticPr fontId="5" type="noConversion"/>
  </si>
  <si>
    <t>Q</t>
    <phoneticPr fontId="5" type="noConversion"/>
  </si>
  <si>
    <t>T</t>
    <phoneticPr fontId="5" type="noConversion"/>
  </si>
  <si>
    <t>U</t>
    <phoneticPr fontId="5" type="noConversion"/>
  </si>
  <si>
    <t>V</t>
    <phoneticPr fontId="5" type="noConversion"/>
  </si>
  <si>
    <t>W</t>
    <phoneticPr fontId="5" type="noConversion"/>
  </si>
  <si>
    <t>X</t>
    <phoneticPr fontId="5" type="noConversion"/>
  </si>
  <si>
    <t>Y</t>
    <phoneticPr fontId="5" type="noConversion"/>
  </si>
  <si>
    <t>Z</t>
    <phoneticPr fontId="5" type="noConversion"/>
  </si>
  <si>
    <r>
      <rPr>
        <i/>
        <sz val="11"/>
        <color rgb="FF7F7F7F"/>
        <rFont val="Segoe UI Symbol"/>
        <family val="2"/>
      </rPr>
      <t>☛</t>
    </r>
    <r>
      <rPr>
        <i/>
        <sz val="11"/>
        <color rgb="FF7F7F7F"/>
        <rFont val="等线"/>
        <family val="3"/>
        <charset val="134"/>
        <scheme val="minor"/>
      </rPr>
      <t>选择文件模板路径和结果保存文件夹</t>
    </r>
    <phoneticPr fontId="5" type="noConversion"/>
  </si>
  <si>
    <r>
      <t>☛</t>
    </r>
    <r>
      <rPr>
        <i/>
        <sz val="11"/>
        <color rgb="FF7F7F7F"/>
        <rFont val="等线"/>
        <family val="3"/>
        <charset val="134"/>
        <scheme val="minor"/>
      </rPr>
      <t>选择计划工数分表格</t>
    </r>
    <phoneticPr fontId="5" type="noConversion"/>
  </si>
  <si>
    <t>PJ所用工时统计表</t>
    <phoneticPr fontId="5" type="noConversion"/>
  </si>
  <si>
    <t>工数システム04</t>
    <phoneticPr fontId="5" type="noConversion"/>
  </si>
  <si>
    <t>工数計画表</t>
    <phoneticPr fontId="5" type="noConversion"/>
  </si>
  <si>
    <t>最終</t>
    <phoneticPr fontId="5" type="noConversion"/>
  </si>
  <si>
    <t>事务统计用--各PJ所用工时统计表</t>
    <phoneticPr fontId="5" type="noConversion"/>
  </si>
  <si>
    <t>下载路径
DownloadPath</t>
    <phoneticPr fontId="5" type="noConversion"/>
  </si>
  <si>
    <t>E:\Iedownload\</t>
    <phoneticPr fontId="5" type="noConversion"/>
  </si>
  <si>
    <t>BSH00680</t>
    <phoneticPr fontId="5" type="noConversion"/>
  </si>
  <si>
    <t>DEVC)技術革新部</t>
    <phoneticPr fontId="5" type="noConversion"/>
  </si>
  <si>
    <t xml:space="preserve">结果保存路径 </t>
  </si>
  <si>
    <t>执行时间</t>
    <phoneticPr fontId="5" type="noConversion"/>
  </si>
  <si>
    <t>D18:E22</t>
    <phoneticPr fontId="5" type="noConversion"/>
  </si>
  <si>
    <t>日本分</t>
    <phoneticPr fontId="5" type="noConversion"/>
  </si>
  <si>
    <t>中間</t>
    <phoneticPr fontId="5" type="noConversion"/>
  </si>
  <si>
    <t>基础数据（经企-财务G）_</t>
    <phoneticPr fontId="5" type="noConversion"/>
  </si>
  <si>
    <t>http://10.244.1.9:6060/login.xhtml</t>
    <phoneticPr fontId="5" type="noConversion"/>
  </si>
  <si>
    <t>日本出差</t>
    <phoneticPr fontId="5" type="noConversion"/>
  </si>
  <si>
    <t>EXCEL文档密码
Password</t>
    <phoneticPr fontId="5" type="noConversion"/>
  </si>
  <si>
    <t>计划表对应范围
ScheduleDetp</t>
    <phoneticPr fontId="5" type="noConversion"/>
  </si>
  <si>
    <t>计划表对应月份列
ScheduleColumn</t>
    <phoneticPr fontId="5" type="noConversion"/>
  </si>
  <si>
    <t>工数报告书表名称
SheetName1</t>
    <phoneticPr fontId="5" type="noConversion"/>
  </si>
  <si>
    <t>工数报告书表名称
SheetName2</t>
    <phoneticPr fontId="5" type="noConversion"/>
  </si>
  <si>
    <t>工数报告书表名称
SheetName3</t>
    <phoneticPr fontId="5" type="noConversion"/>
  </si>
  <si>
    <t>工数报告书表名称
SheetName4</t>
    <phoneticPr fontId="5" type="noConversion"/>
  </si>
  <si>
    <t>工数报告书表名称
SheetName5</t>
    <phoneticPr fontId="5" type="noConversion"/>
  </si>
  <si>
    <t>工数系统地址
Atw_address</t>
    <phoneticPr fontId="5" type="noConversion"/>
  </si>
  <si>
    <t>工数用户名
Atw_Username</t>
    <phoneticPr fontId="5" type="noConversion"/>
  </si>
  <si>
    <t>工数系统密码
Atw_Password</t>
    <phoneticPr fontId="5" type="noConversion"/>
  </si>
  <si>
    <t>文件名称
FileName1</t>
    <phoneticPr fontId="5" type="noConversion"/>
  </si>
  <si>
    <t>文件名称
FileName2</t>
    <phoneticPr fontId="5" type="noConversion"/>
  </si>
  <si>
    <t>文件名称
FileName3</t>
    <phoneticPr fontId="5" type="noConversion"/>
  </si>
  <si>
    <t>文件名称
FileName4</t>
    <phoneticPr fontId="5" type="noConversion"/>
  </si>
  <si>
    <t>文件名称
FileName5</t>
    <phoneticPr fontId="5" type="noConversion"/>
  </si>
  <si>
    <t>*如果结算区间发生变化，对该表格修改，行列不能修改</t>
    <phoneticPr fontId="5" type="noConversion"/>
  </si>
  <si>
    <t>04</t>
  </si>
  <si>
    <t>\\Apbshsh05\SoftDev2\00_Common\臨時保存\lunn\BSH_機械系統開発部_工数計画表_PS)LE開発部_2020.xlsx</t>
    <phoneticPr fontId="5" type="noConversion"/>
  </si>
  <si>
    <t>\\Apbshsh05\SoftDev2\00_Common\臨時保存\lunn\BSH_機械系統開発部_工数計画表_PS)IDS開発部_2020.xlsx</t>
    <phoneticPr fontId="5" type="noConversion"/>
  </si>
  <si>
    <t>\\Apbshsh05\SoftDev2\00_Common\臨時保存\lunn\BSH_機械系統開発部_工数計画表_NC)ネットワークシステム推進部_2020.xlsx</t>
    <phoneticPr fontId="5" type="noConversion"/>
  </si>
  <si>
    <t>\\Apbshsh05\SoftDev2\00_Common\臨時保存\lunn\BSH_機械系統開発部_工数計画表_DEVC)技術革新部_2020.xlsx</t>
    <phoneticPr fontId="5" type="noConversion"/>
  </si>
  <si>
    <t>OK</t>
    <phoneticPr fontId="5" type="noConversion"/>
  </si>
  <si>
    <t>26</t>
  </si>
  <si>
    <t>05</t>
  </si>
  <si>
    <t>3</t>
    <phoneticPr fontId="5" type="noConversion"/>
  </si>
  <si>
    <t>131</t>
    <phoneticPr fontId="5" type="noConversion"/>
  </si>
  <si>
    <t>21</t>
    <phoneticPr fontId="5" type="noConversion"/>
  </si>
  <si>
    <t>E:\02RPA\BIL工数收集确认自动化\Result\20200426\20200426_2020年05月中間_BSHメカ工数実績報告_メカ確認後.xls</t>
    <phoneticPr fontId="5" type="noConversion"/>
  </si>
  <si>
    <t>OK</t>
    <phoneticPr fontId="5" type="noConversion"/>
  </si>
  <si>
    <t>E:\02RPA\BIL工数收集确认自动化\Result\20200426_最終\20200426_2020年05月最終_BSHメカ工数実績報告_メカ確認後.xls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</si>
</sst>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6" x14ac:knownFonts="1">
    <font>
      <sz val="11"/>
      <color theme="1"/>
      <name val="等线"/>
      <family val="2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i/>
      <sz val="11"/>
      <color rgb="FF7F7F7F"/>
      <name val="Segoe UI Symbol"/>
      <family val="2"/>
    </font>
    <font>
      <i/>
      <sz val="11"/>
      <color rgb="FF7F7F7F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name val="Arial"/>
      <family val="2"/>
    </font>
    <font>
      <sz val="10"/>
      <name val="微软雅黑"/>
      <family val="3"/>
      <charset val="134"/>
    </font>
    <font>
      <sz val="18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>
      <alignment vertical="center"/>
    </xf>
    <xf numFmtId="0" fontId="2" fillId="3" borderId="2" applyNumberForma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/>
  </cellStyleXfs>
  <cellXfs count="107">
    <xf numFmtId="0" fontId="0" fillId="0" borderId="0" xfId="0"/>
    <xf numFmtId="0" fontId="3" fillId="0" borderId="0" xfId="3" applyAlignment="1"/>
    <xf numFmtId="0" fontId="0" fillId="0" borderId="0" xfId="0" applyFill="1"/>
    <xf numFmtId="0" fontId="1" fillId="0" borderId="0" xfId="1" applyFill="1" applyBorder="1" applyAlignment="1">
      <alignment horizontal="center" vertical="center"/>
    </xf>
    <xf numFmtId="0" fontId="1" fillId="0" borderId="0" xfId="1" applyFill="1" applyBorder="1" applyAlignment="1">
      <alignment horizontal="left" vertical="center" wrapText="1"/>
    </xf>
    <xf numFmtId="0" fontId="9" fillId="0" borderId="8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176" fontId="0" fillId="0" borderId="0" xfId="0" applyNumberFormat="1" applyAlignment="1">
      <alignment horizontal="right"/>
    </xf>
    <xf numFmtId="0" fontId="0" fillId="0" borderId="11" xfId="0" applyFill="1" applyBorder="1"/>
    <xf numFmtId="0" fontId="8" fillId="0" borderId="0" xfId="0" applyFont="1"/>
    <xf numFmtId="0" fontId="0" fillId="0" borderId="0" xfId="0" applyFill="1" applyBorder="1"/>
    <xf numFmtId="49" fontId="0" fillId="0" borderId="0" xfId="0" applyNumberFormat="1" applyAlignment="1">
      <alignment horizontal="right"/>
    </xf>
    <xf numFmtId="0" fontId="12" fillId="0" borderId="0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2" xfId="2" applyFont="1" applyFill="1" applyBorder="1" applyAlignment="1">
      <alignment horizontal="left"/>
    </xf>
    <xf numFmtId="0" fontId="0" fillId="0" borderId="12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4" fillId="0" borderId="0" xfId="2" applyFont="1" applyFill="1" applyBorder="1" applyAlignment="1">
      <alignment horizontal="left"/>
    </xf>
    <xf numFmtId="176" fontId="0" fillId="0" borderId="0" xfId="0" applyNumberFormat="1" applyFill="1" applyBorder="1" applyAlignment="1">
      <alignment horizontal="left" vertical="center"/>
    </xf>
    <xf numFmtId="0" fontId="4" fillId="0" borderId="0" xfId="2" applyFont="1" applyFill="1" applyBorder="1" applyAlignment="1">
      <alignment horizontal="right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2" borderId="12" xfId="1" applyBorder="1" applyAlignment="1">
      <alignment horizontal="left" vertical="center" wrapText="1"/>
    </xf>
    <xf numFmtId="0" fontId="8" fillId="4" borderId="14" xfId="2" applyFont="1" applyFill="1" applyBorder="1" applyAlignment="1">
      <alignment horizontal="center"/>
    </xf>
    <xf numFmtId="0" fontId="1" fillId="2" borderId="17" xfId="1" applyBorder="1" applyAlignment="1">
      <alignment horizontal="left" vertical="center" wrapText="1"/>
    </xf>
    <xf numFmtId="0" fontId="0" fillId="0" borderId="11" xfId="0" applyBorder="1"/>
    <xf numFmtId="0" fontId="0" fillId="0" borderId="19" xfId="0" applyBorder="1"/>
    <xf numFmtId="0" fontId="1" fillId="0" borderId="20" xfId="1" applyFill="1" applyBorder="1" applyAlignment="1">
      <alignment horizontal="left" vertical="center"/>
    </xf>
    <xf numFmtId="0" fontId="0" fillId="0" borderId="21" xfId="0" applyBorder="1"/>
    <xf numFmtId="0" fontId="0" fillId="0" borderId="22" xfId="0" applyBorder="1"/>
    <xf numFmtId="0" fontId="1" fillId="2" borderId="8" xfId="1" applyBorder="1" applyAlignment="1">
      <alignment horizontal="left" vertical="center" wrapText="1"/>
    </xf>
    <xf numFmtId="0" fontId="0" fillId="0" borderId="23" xfId="0" applyFill="1" applyBorder="1"/>
    <xf numFmtId="0" fontId="0" fillId="0" borderId="23" xfId="0" applyBorder="1"/>
    <xf numFmtId="0" fontId="0" fillId="0" borderId="24" xfId="0" applyBorder="1"/>
    <xf numFmtId="0" fontId="4" fillId="4" borderId="16" xfId="2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left" vertical="center"/>
    </xf>
    <xf numFmtId="0" fontId="10" fillId="0" borderId="8" xfId="0" applyFont="1" applyFill="1" applyBorder="1" applyAlignment="1">
      <alignment horizontal="left" vertical="center"/>
    </xf>
    <xf numFmtId="0" fontId="1" fillId="0" borderId="8" xfId="1" applyFill="1" applyBorder="1" applyAlignment="1">
      <alignment horizontal="left" vertical="center"/>
    </xf>
    <xf numFmtId="0" fontId="8" fillId="4" borderId="14" xfId="2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8" fillId="4" borderId="26" xfId="2" applyFont="1" applyFill="1" applyBorder="1" applyAlignment="1">
      <alignment horizontal="center" vertical="center"/>
    </xf>
    <xf numFmtId="0" fontId="1" fillId="0" borderId="0" xfId="1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3" fillId="0" borderId="0" xfId="3" applyFill="1" applyBorder="1" applyAlignment="1"/>
    <xf numFmtId="0" fontId="3" fillId="0" borderId="0" xfId="3" applyFill="1" applyBorder="1" applyAlignment="1">
      <alignment horizontal="left"/>
    </xf>
    <xf numFmtId="176" fontId="0" fillId="0" borderId="12" xfId="0" applyNumberFormat="1" applyBorder="1" applyAlignment="1">
      <alignment horizontal="center" vertical="center"/>
    </xf>
    <xf numFmtId="49" fontId="0" fillId="5" borderId="12" xfId="0" applyNumberFormat="1" applyFill="1" applyBorder="1"/>
    <xf numFmtId="49" fontId="0" fillId="6" borderId="12" xfId="0" applyNumberFormat="1" applyFill="1" applyBorder="1"/>
    <xf numFmtId="49" fontId="0" fillId="6" borderId="14" xfId="0" applyNumberFormat="1" applyFill="1" applyBorder="1" applyAlignment="1">
      <alignment horizontal="center"/>
    </xf>
    <xf numFmtId="49" fontId="0" fillId="6" borderId="12" xfId="0" applyNumberFormat="1" applyFill="1" applyBorder="1" applyAlignment="1">
      <alignment horizontal="center"/>
    </xf>
    <xf numFmtId="49" fontId="0" fillId="6" borderId="15" xfId="0" applyNumberFormat="1" applyFill="1" applyBorder="1" applyAlignment="1">
      <alignment horizontal="center"/>
    </xf>
    <xf numFmtId="0" fontId="1" fillId="0" borderId="17" xfId="1" applyFill="1" applyBorder="1" applyAlignment="1">
      <alignment horizontal="left" vertical="center"/>
    </xf>
    <xf numFmtId="0" fontId="1" fillId="2" borderId="14" xfId="1" applyBorder="1" applyAlignment="1">
      <alignment horizontal="left" vertical="center" wrapText="1"/>
    </xf>
    <xf numFmtId="0" fontId="1" fillId="0" borderId="28" xfId="1" applyFill="1" applyBorder="1" applyAlignment="1">
      <alignment horizontal="left" vertical="center"/>
    </xf>
    <xf numFmtId="0" fontId="0" fillId="0" borderId="28" xfId="0" applyBorder="1"/>
    <xf numFmtId="0" fontId="0" fillId="0" borderId="29" xfId="0" applyBorder="1"/>
    <xf numFmtId="0" fontId="1" fillId="0" borderId="30" xfId="1" applyFill="1" applyBorder="1" applyAlignment="1">
      <alignment horizontal="left" vertical="center"/>
    </xf>
    <xf numFmtId="0" fontId="0" fillId="0" borderId="30" xfId="0" applyBorder="1"/>
    <xf numFmtId="0" fontId="0" fillId="0" borderId="31" xfId="0" applyBorder="1"/>
    <xf numFmtId="0" fontId="0" fillId="0" borderId="24" xfId="0" applyFill="1" applyBorder="1"/>
    <xf numFmtId="0" fontId="13" fillId="0" borderId="0" xfId="0" applyFont="1" applyFill="1" applyBorder="1" applyAlignment="1">
      <alignment horizontal="left" vertical="center"/>
    </xf>
    <xf numFmtId="176" fontId="0" fillId="0" borderId="5" xfId="0" applyNumberForma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4" fillId="4" borderId="26" xfId="2" applyFont="1" applyFill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8" borderId="12" xfId="0" applyFill="1" applyBorder="1" applyAlignment="1">
      <alignment horizontal="left" vertical="center"/>
    </xf>
    <xf numFmtId="0" fontId="0" fillId="7" borderId="12" xfId="0" applyFill="1" applyBorder="1" applyAlignment="1">
      <alignment horizontal="left" vertical="center" wrapText="1"/>
    </xf>
    <xf numFmtId="0" fontId="0" fillId="8" borderId="17" xfId="0" applyFill="1" applyBorder="1" applyAlignment="1">
      <alignment horizontal="left" vertical="center"/>
    </xf>
    <xf numFmtId="0" fontId="0" fillId="6" borderId="17" xfId="0" applyFill="1" applyBorder="1" applyAlignment="1">
      <alignment horizontal="left" vertical="center"/>
    </xf>
    <xf numFmtId="0" fontId="0" fillId="9" borderId="12" xfId="0" applyFill="1" applyBorder="1" applyAlignment="1">
      <alignment horizontal="center" vertical="center"/>
    </xf>
    <xf numFmtId="49" fontId="0" fillId="9" borderId="12" xfId="0" applyNumberFormat="1" applyFill="1" applyBorder="1" applyAlignment="1">
      <alignment horizontal="center" vertical="center"/>
    </xf>
    <xf numFmtId="14" fontId="0" fillId="9" borderId="12" xfId="0" applyNumberFormat="1" applyFill="1" applyBorder="1" applyAlignment="1">
      <alignment horizontal="center" vertical="center"/>
    </xf>
    <xf numFmtId="176" fontId="0" fillId="9" borderId="12" xfId="0" applyNumberFormat="1" applyFill="1" applyBorder="1" applyAlignment="1">
      <alignment horizontal="center" vertical="center"/>
    </xf>
    <xf numFmtId="49" fontId="0" fillId="6" borderId="0" xfId="0" applyNumberFormat="1" applyFill="1" applyBorder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1" fillId="2" borderId="6" xfId="1" applyBorder="1" applyAlignment="1">
      <alignment horizontal="center" vertical="center"/>
    </xf>
    <xf numFmtId="0" fontId="1" fillId="2" borderId="15" xfId="1" applyBorder="1" applyAlignment="1">
      <alignment horizontal="center" vertical="center"/>
    </xf>
    <xf numFmtId="0" fontId="4" fillId="4" borderId="3" xfId="2" applyFont="1" applyFill="1" applyBorder="1" applyAlignment="1">
      <alignment horizontal="center"/>
    </xf>
    <xf numFmtId="0" fontId="4" fillId="4" borderId="14" xfId="2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4" fillId="4" borderId="3" xfId="2" applyFont="1" applyFill="1" applyBorder="1" applyAlignment="1">
      <alignment horizontal="left" vertical="center"/>
    </xf>
    <xf numFmtId="0" fontId="4" fillId="4" borderId="14" xfId="2" applyFont="1" applyFill="1" applyBorder="1" applyAlignment="1">
      <alignment horizontal="left" vertical="center"/>
    </xf>
    <xf numFmtId="0" fontId="4" fillId="4" borderId="4" xfId="2" applyFont="1" applyFill="1" applyBorder="1" applyAlignment="1">
      <alignment horizontal="left" vertical="center"/>
    </xf>
    <xf numFmtId="0" fontId="4" fillId="4" borderId="12" xfId="2" applyFont="1" applyFill="1" applyBorder="1" applyAlignment="1">
      <alignment horizontal="left" vertical="center"/>
    </xf>
    <xf numFmtId="0" fontId="4" fillId="4" borderId="6" xfId="2" applyFont="1" applyFill="1" applyBorder="1" applyAlignment="1">
      <alignment horizontal="left" vertical="center"/>
    </xf>
    <xf numFmtId="0" fontId="4" fillId="4" borderId="15" xfId="2" applyFont="1" applyFill="1" applyBorder="1" applyAlignment="1">
      <alignment horizontal="left" vertical="center"/>
    </xf>
    <xf numFmtId="0" fontId="1" fillId="2" borderId="4" xfId="1" applyBorder="1" applyAlignment="1">
      <alignment horizontal="center" vertical="center"/>
    </xf>
    <xf numFmtId="0" fontId="1" fillId="2" borderId="12" xfId="1" applyBorder="1" applyAlignment="1">
      <alignment horizontal="center" vertical="center"/>
    </xf>
    <xf numFmtId="0" fontId="4" fillId="4" borderId="16" xfId="2" applyFont="1" applyFill="1" applyBorder="1" applyAlignment="1">
      <alignment horizontal="center" vertical="center"/>
    </xf>
    <xf numFmtId="0" fontId="4" fillId="4" borderId="27" xfId="2" applyFont="1" applyFill="1" applyBorder="1" applyAlignment="1">
      <alignment horizontal="center" vertical="center"/>
    </xf>
    <xf numFmtId="0" fontId="4" fillId="4" borderId="32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/>
    </xf>
    <xf numFmtId="0" fontId="8" fillId="4" borderId="18" xfId="2" applyFont="1" applyFill="1" applyBorder="1" applyAlignment="1">
      <alignment horizontal="center" vertical="center"/>
    </xf>
    <xf numFmtId="0" fontId="8" fillId="4" borderId="13" xfId="2" applyFont="1" applyFill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1" fillId="2" borderId="14" xfId="1" applyBorder="1" applyAlignment="1">
      <alignment horizontal="center" vertical="center"/>
    </xf>
  </cellXfs>
  <cellStyles count="5">
    <cellStyle name="標準 10" xfId="4" xr:uid="{05A265CA-ECB8-4660-91F8-8E7F67C64EC3}"/>
    <cellStyle name="常规" xfId="0" builtinId="0"/>
    <cellStyle name="检查单元格" xfId="2" builtinId="23"/>
    <cellStyle name="解释性文本" xfId="3" builtinId="53"/>
    <cellStyle name="输出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KosuCollectionAuto/LastReport.Ba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25</xdr:row>
      <xdr:rowOff>45720</xdr:rowOff>
    </xdr:from>
    <xdr:to>
      <xdr:col>2</xdr:col>
      <xdr:colOff>656160</xdr:colOff>
      <xdr:row>25</xdr:row>
      <xdr:rowOff>405720</xdr:rowOff>
    </xdr:to>
    <xdr:sp macro="" textlink="">
      <xdr:nvSpPr>
        <xdr:cNvPr id="8" name="矩形: 圆角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59080" y="6545580"/>
          <a:ext cx="900000" cy="36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/>
            <a:t>中间确认</a:t>
          </a:r>
          <a:endParaRPr lang="en-US" altLang="zh-CN" sz="1100" b="1"/>
        </a:p>
      </xdr:txBody>
    </xdr:sp>
    <xdr:clientData/>
  </xdr:twoCellAnchor>
  <xdr:twoCellAnchor>
    <xdr:from>
      <xdr:col>1</xdr:col>
      <xdr:colOff>30480</xdr:colOff>
      <xdr:row>26</xdr:row>
      <xdr:rowOff>45720</xdr:rowOff>
    </xdr:from>
    <xdr:to>
      <xdr:col>2</xdr:col>
      <xdr:colOff>656160</xdr:colOff>
      <xdr:row>26</xdr:row>
      <xdr:rowOff>405720</xdr:rowOff>
    </xdr:to>
    <xdr:sp macro="" textlink="">
      <xdr:nvSpPr>
        <xdr:cNvPr id="9" name="矩形: 圆角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59080" y="6987540"/>
          <a:ext cx="900000" cy="36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/>
            <a:t>最终确认</a:t>
          </a:r>
          <a:endParaRPr lang="en-US" altLang="zh-CN" sz="1100" b="1"/>
        </a:p>
      </xdr:txBody>
    </xdr:sp>
    <xdr:clientData/>
  </xdr:twoCellAnchor>
  <xdr:twoCellAnchor>
    <xdr:from>
      <xdr:col>1</xdr:col>
      <xdr:colOff>38100</xdr:colOff>
      <xdr:row>15</xdr:row>
      <xdr:rowOff>45720</xdr:rowOff>
    </xdr:from>
    <xdr:to>
      <xdr:col>2</xdr:col>
      <xdr:colOff>663780</xdr:colOff>
      <xdr:row>15</xdr:row>
      <xdr:rowOff>405720</xdr:rowOff>
    </xdr:to>
    <xdr:sp macro="[0]!SelectFolder_Click" textlink="">
      <xdr:nvSpPr>
        <xdr:cNvPr id="4" name="矩形: 圆角 3">
          <a:extLst>
            <a:ext uri="{FF2B5EF4-FFF2-40B4-BE49-F238E27FC236}">
              <a16:creationId xmlns:a16="http://schemas.microsoft.com/office/drawing/2014/main" id="{5750A490-89C9-4DA8-AB65-580E264A954A}"/>
            </a:ext>
          </a:extLst>
        </xdr:cNvPr>
        <xdr:cNvSpPr/>
      </xdr:nvSpPr>
      <xdr:spPr>
        <a:xfrm>
          <a:off x="266700" y="3268980"/>
          <a:ext cx="900000" cy="360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50" b="1">
              <a:solidFill>
                <a:schemeClr val="bg1"/>
              </a:solidFill>
            </a:rPr>
            <a:t>选择文件夹</a:t>
          </a:r>
        </a:p>
      </xdr:txBody>
    </xdr:sp>
    <xdr:clientData/>
  </xdr:twoCellAnchor>
  <xdr:twoCellAnchor>
    <xdr:from>
      <xdr:col>1</xdr:col>
      <xdr:colOff>30480</xdr:colOff>
      <xdr:row>16</xdr:row>
      <xdr:rowOff>30480</xdr:rowOff>
    </xdr:from>
    <xdr:to>
      <xdr:col>2</xdr:col>
      <xdr:colOff>656160</xdr:colOff>
      <xdr:row>16</xdr:row>
      <xdr:rowOff>390480</xdr:rowOff>
    </xdr:to>
    <xdr:sp macro="[0]!SelectFile1_Click" textlink="">
      <xdr:nvSpPr>
        <xdr:cNvPr id="19" name="矩形: 圆角 18">
          <a:extLst>
            <a:ext uri="{FF2B5EF4-FFF2-40B4-BE49-F238E27FC236}">
              <a16:creationId xmlns:a16="http://schemas.microsoft.com/office/drawing/2014/main" id="{67BF0F83-02AA-403B-A278-18181FE5C075}"/>
            </a:ext>
          </a:extLst>
        </xdr:cNvPr>
        <xdr:cNvSpPr/>
      </xdr:nvSpPr>
      <xdr:spPr>
        <a:xfrm>
          <a:off x="259080" y="3695700"/>
          <a:ext cx="900000" cy="3600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bg1"/>
              </a:solidFill>
            </a:rPr>
            <a:t>选择文件</a:t>
          </a:r>
        </a:p>
      </xdr:txBody>
    </xdr:sp>
    <xdr:clientData/>
  </xdr:twoCellAnchor>
  <xdr:twoCellAnchor>
    <xdr:from>
      <xdr:col>1</xdr:col>
      <xdr:colOff>30480</xdr:colOff>
      <xdr:row>18</xdr:row>
      <xdr:rowOff>45720</xdr:rowOff>
    </xdr:from>
    <xdr:to>
      <xdr:col>2</xdr:col>
      <xdr:colOff>656160</xdr:colOff>
      <xdr:row>18</xdr:row>
      <xdr:rowOff>405720</xdr:rowOff>
    </xdr:to>
    <xdr:sp macro="[0]!SelectFile2_Click" textlink="">
      <xdr:nvSpPr>
        <xdr:cNvPr id="21" name="矩形: 圆角 20">
          <a:extLst>
            <a:ext uri="{FF2B5EF4-FFF2-40B4-BE49-F238E27FC236}">
              <a16:creationId xmlns:a16="http://schemas.microsoft.com/office/drawing/2014/main" id="{52E66645-C554-43A4-AD3D-16137626D0B7}"/>
            </a:ext>
          </a:extLst>
        </xdr:cNvPr>
        <xdr:cNvSpPr/>
      </xdr:nvSpPr>
      <xdr:spPr>
        <a:xfrm>
          <a:off x="259080" y="4267200"/>
          <a:ext cx="900000" cy="3600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bg1"/>
              </a:solidFill>
            </a:rPr>
            <a:t>选择文件</a:t>
          </a:r>
        </a:p>
      </xdr:txBody>
    </xdr:sp>
    <xdr:clientData/>
  </xdr:twoCellAnchor>
  <xdr:twoCellAnchor>
    <xdr:from>
      <xdr:col>1</xdr:col>
      <xdr:colOff>22860</xdr:colOff>
      <xdr:row>19</xdr:row>
      <xdr:rowOff>38100</xdr:rowOff>
    </xdr:from>
    <xdr:to>
      <xdr:col>2</xdr:col>
      <xdr:colOff>648540</xdr:colOff>
      <xdr:row>19</xdr:row>
      <xdr:rowOff>398100</xdr:rowOff>
    </xdr:to>
    <xdr:sp macro="[0]!SelectFile3_Click" textlink="">
      <xdr:nvSpPr>
        <xdr:cNvPr id="22" name="矩形: 圆角 21">
          <a:extLst>
            <a:ext uri="{FF2B5EF4-FFF2-40B4-BE49-F238E27FC236}">
              <a16:creationId xmlns:a16="http://schemas.microsoft.com/office/drawing/2014/main" id="{1ABB6925-C24C-479E-95D4-8AEAF40A2C5E}"/>
            </a:ext>
          </a:extLst>
        </xdr:cNvPr>
        <xdr:cNvSpPr/>
      </xdr:nvSpPr>
      <xdr:spPr>
        <a:xfrm>
          <a:off x="251460" y="4701540"/>
          <a:ext cx="900000" cy="3600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bg1"/>
              </a:solidFill>
            </a:rPr>
            <a:t>选择文件</a:t>
          </a:r>
        </a:p>
      </xdr:txBody>
    </xdr:sp>
    <xdr:clientData/>
  </xdr:twoCellAnchor>
  <xdr:twoCellAnchor>
    <xdr:from>
      <xdr:col>1</xdr:col>
      <xdr:colOff>22860</xdr:colOff>
      <xdr:row>20</xdr:row>
      <xdr:rowOff>38100</xdr:rowOff>
    </xdr:from>
    <xdr:to>
      <xdr:col>2</xdr:col>
      <xdr:colOff>648540</xdr:colOff>
      <xdr:row>20</xdr:row>
      <xdr:rowOff>398100</xdr:rowOff>
    </xdr:to>
    <xdr:sp macro="[0]!SelectFile4_Click" textlink="">
      <xdr:nvSpPr>
        <xdr:cNvPr id="23" name="矩形: 圆角 22">
          <a:extLst>
            <a:ext uri="{FF2B5EF4-FFF2-40B4-BE49-F238E27FC236}">
              <a16:creationId xmlns:a16="http://schemas.microsoft.com/office/drawing/2014/main" id="{2D33B155-BDDB-4F24-8DBE-EFF5BA9C2F03}"/>
            </a:ext>
          </a:extLst>
        </xdr:cNvPr>
        <xdr:cNvSpPr/>
      </xdr:nvSpPr>
      <xdr:spPr>
        <a:xfrm>
          <a:off x="251460" y="5143500"/>
          <a:ext cx="900000" cy="3600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bg1"/>
              </a:solidFill>
            </a:rPr>
            <a:t>选择文件</a:t>
          </a:r>
        </a:p>
      </xdr:txBody>
    </xdr:sp>
    <xdr:clientData/>
  </xdr:twoCellAnchor>
  <xdr:twoCellAnchor>
    <xdr:from>
      <xdr:col>1</xdr:col>
      <xdr:colOff>22860</xdr:colOff>
      <xdr:row>21</xdr:row>
      <xdr:rowOff>38100</xdr:rowOff>
    </xdr:from>
    <xdr:to>
      <xdr:col>2</xdr:col>
      <xdr:colOff>648540</xdr:colOff>
      <xdr:row>21</xdr:row>
      <xdr:rowOff>398100</xdr:rowOff>
    </xdr:to>
    <xdr:sp macro="[0]!SelectFile5_Click" textlink="">
      <xdr:nvSpPr>
        <xdr:cNvPr id="24" name="矩形: 圆角 23">
          <a:extLst>
            <a:ext uri="{FF2B5EF4-FFF2-40B4-BE49-F238E27FC236}">
              <a16:creationId xmlns:a16="http://schemas.microsoft.com/office/drawing/2014/main" id="{729DEF8D-52BF-4EAB-B157-AA21B9398DA2}"/>
            </a:ext>
          </a:extLst>
        </xdr:cNvPr>
        <xdr:cNvSpPr/>
      </xdr:nvSpPr>
      <xdr:spPr>
        <a:xfrm>
          <a:off x="251460" y="5585460"/>
          <a:ext cx="900000" cy="3600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bg1"/>
              </a:solidFill>
            </a:rPr>
            <a:t>选择文件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</xdr:colOff>
      <xdr:row>0</xdr:row>
      <xdr:rowOff>99060</xdr:rowOff>
    </xdr:from>
    <xdr:to>
      <xdr:col>14</xdr:col>
      <xdr:colOff>373380</xdr:colOff>
      <xdr:row>2</xdr:row>
      <xdr:rowOff>7620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D4A535FB-ACB5-40A9-8FC8-E8F80BAB0BC3}"/>
            </a:ext>
          </a:extLst>
        </xdr:cNvPr>
        <xdr:cNvSpPr txBox="1"/>
      </xdr:nvSpPr>
      <xdr:spPr>
        <a:xfrm>
          <a:off x="11201400" y="99060"/>
          <a:ext cx="3398520" cy="670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*黄色区域需要使用者根据现在登录者信息填写，其他区域的内容但发生变化时，编辑灰色区域的值，但不可以修改行列所在位置</a:t>
          </a:r>
          <a:endParaRPr lang="en-US" altLang="zh-C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44"/>
  <sheetViews>
    <sheetView tabSelected="1" workbookViewId="0">
      <selection activeCell="A4" sqref="A4"/>
    </sheetView>
  </sheetViews>
  <sheetFormatPr defaultRowHeight="13.8" x14ac:dyDescent="0.25"/>
  <cols>
    <col min="1" max="1" width="3.33203125" customWidth="1"/>
    <col min="2" max="2" width="4" customWidth="1"/>
    <col min="3" max="3" width="10" customWidth="1"/>
    <col min="4" max="4" width="18.33203125" style="13" customWidth="1"/>
    <col min="5" max="5" width="8.77734375" customWidth="1"/>
    <col min="6" max="6" width="3.5546875" bestFit="1" customWidth="1"/>
    <col min="7" max="7" width="16.109375" bestFit="1" customWidth="1"/>
    <col min="8" max="8" width="18.44140625" customWidth="1"/>
    <col min="9" max="9" width="5.5546875" customWidth="1"/>
    <col min="10" max="10" width="3.5546875" bestFit="1" customWidth="1"/>
    <col min="11" max="11" width="12.77734375" customWidth="1"/>
    <col min="13" max="13" width="6.21875" bestFit="1" customWidth="1"/>
    <col min="14" max="14" width="43.21875" customWidth="1"/>
    <col min="15" max="15" width="11.21875" bestFit="1" customWidth="1"/>
    <col min="20" max="20" width="58.88671875" customWidth="1"/>
  </cols>
  <sheetData>
    <row r="2" spans="2:19" ht="22.8" x14ac:dyDescent="0.25">
      <c r="B2" s="64" t="s">
        <v>8</v>
      </c>
    </row>
    <row r="4" spans="2:19" ht="16.8" x14ac:dyDescent="0.4">
      <c r="B4" s="1" t="s">
        <v>36</v>
      </c>
      <c r="C4" s="13"/>
      <c r="S4" s="9"/>
    </row>
    <row r="5" spans="2:19" x14ac:dyDescent="0.25">
      <c r="B5" s="15" t="s">
        <v>0</v>
      </c>
      <c r="C5" s="51" t="s">
        <v>10</v>
      </c>
      <c r="D5" s="51" t="s">
        <v>10</v>
      </c>
      <c r="G5" s="6"/>
      <c r="H5" s="11"/>
    </row>
    <row r="6" spans="2:19" x14ac:dyDescent="0.25">
      <c r="B6" s="15" t="s">
        <v>1</v>
      </c>
      <c r="C6" s="51" t="s">
        <v>93</v>
      </c>
      <c r="D6" s="51" t="s">
        <v>100</v>
      </c>
      <c r="G6" s="6"/>
      <c r="H6" s="7"/>
      <c r="I6" s="21"/>
    </row>
    <row r="7" spans="2:19" x14ac:dyDescent="0.25">
      <c r="B7" s="15" t="s">
        <v>2</v>
      </c>
      <c r="C7" s="51" t="s">
        <v>99</v>
      </c>
      <c r="D7" s="50" t="s">
        <v>35</v>
      </c>
      <c r="G7" s="6"/>
      <c r="H7" s="7"/>
      <c r="K7" s="10"/>
      <c r="L7" s="14"/>
      <c r="M7" s="10"/>
      <c r="N7" s="19"/>
      <c r="O7" s="10"/>
      <c r="P7" s="10"/>
    </row>
    <row r="8" spans="2:19" x14ac:dyDescent="0.25">
      <c r="G8" s="6"/>
      <c r="H8" s="7"/>
      <c r="K8" s="19"/>
      <c r="L8" s="14"/>
      <c r="M8" s="20"/>
      <c r="N8" s="20"/>
      <c r="O8" s="10"/>
      <c r="P8" s="10"/>
    </row>
    <row r="9" spans="2:19" ht="17.399999999999999" thickBot="1" x14ac:dyDescent="0.45">
      <c r="B9" s="1" t="s">
        <v>17</v>
      </c>
      <c r="G9" s="6"/>
      <c r="H9" s="7"/>
      <c r="K9" s="19"/>
      <c r="L9" s="14"/>
      <c r="M9" s="20"/>
      <c r="N9" s="17"/>
      <c r="O9" s="10"/>
      <c r="P9" s="10"/>
    </row>
    <row r="10" spans="2:19" ht="19.95" customHeight="1" x14ac:dyDescent="0.25">
      <c r="B10" s="91" t="str">
        <f>D5&amp;"年"&amp;D6&amp;"月稼働時間:"</f>
        <v>2020年05月稼働時間:</v>
      </c>
      <c r="C10" s="92"/>
      <c r="D10" s="92"/>
      <c r="E10" s="52" t="s">
        <v>102</v>
      </c>
      <c r="F10" s="22" t="s">
        <v>16</v>
      </c>
      <c r="G10" s="41" t="s">
        <v>11</v>
      </c>
      <c r="H10" s="43" t="s">
        <v>18</v>
      </c>
      <c r="K10" s="42" t="s">
        <v>38</v>
      </c>
    </row>
    <row r="11" spans="2:19" ht="19.95" customHeight="1" x14ac:dyDescent="0.25">
      <c r="B11" s="93" t="str">
        <f>D6&amp;"月稼働時間:"</f>
        <v>05月稼働時間:</v>
      </c>
      <c r="C11" s="94"/>
      <c r="D11" s="94"/>
      <c r="E11" s="53" t="s">
        <v>103</v>
      </c>
      <c r="F11" s="16" t="s">
        <v>12</v>
      </c>
      <c r="G11" s="49">
        <f>VLOOKUP(D5&amp;D6,Sheet1!A2:C16,2,0)</f>
        <v>43944</v>
      </c>
      <c r="H11" s="65">
        <f>VLOOKUP(D5&amp;D6,Sheet1!A2:C16,3,0)</f>
        <v>43975</v>
      </c>
    </row>
    <row r="12" spans="2:19" ht="19.95" customHeight="1" thickBot="1" x14ac:dyDescent="0.3">
      <c r="B12" s="95" t="s">
        <v>14</v>
      </c>
      <c r="C12" s="96"/>
      <c r="D12" s="96"/>
      <c r="E12" s="54" t="s">
        <v>101</v>
      </c>
      <c r="F12" s="23" t="s">
        <v>12</v>
      </c>
      <c r="G12" s="66">
        <f>VLOOKUP(D5&amp;D6,Sheet1!A3:C17,2,0)</f>
        <v>43944</v>
      </c>
      <c r="H12" s="67" t="str">
        <f>C5&amp;"/"&amp;C6&amp;"/"&amp;C7</f>
        <v>2020/04/26</v>
      </c>
    </row>
    <row r="13" spans="2:19" ht="14.4" customHeight="1" x14ac:dyDescent="0.35">
      <c r="B13" s="12"/>
      <c r="C13" s="2"/>
    </row>
    <row r="14" spans="2:19" ht="25.2" customHeight="1" thickBot="1" x14ac:dyDescent="0.45">
      <c r="B14" s="1" t="s">
        <v>57</v>
      </c>
      <c r="D14"/>
    </row>
    <row r="15" spans="2:19" ht="15" customHeight="1" x14ac:dyDescent="0.25">
      <c r="B15" s="87" t="s">
        <v>3</v>
      </c>
      <c r="C15" s="88"/>
      <c r="D15" s="25" t="s">
        <v>4</v>
      </c>
      <c r="E15" s="102" t="s">
        <v>5</v>
      </c>
      <c r="F15" s="103"/>
      <c r="G15" s="103"/>
      <c r="H15" s="103"/>
      <c r="I15" s="103"/>
      <c r="J15" s="103"/>
      <c r="K15" s="103"/>
      <c r="L15" s="103"/>
      <c r="M15" s="103"/>
      <c r="N15" s="104"/>
    </row>
    <row r="16" spans="2:19" ht="34.950000000000003" customHeight="1" x14ac:dyDescent="0.25">
      <c r="B16" s="97"/>
      <c r="C16" s="98"/>
      <c r="D16" s="26" t="s">
        <v>68</v>
      </c>
      <c r="E16" s="29" t="s">
        <v>44</v>
      </c>
      <c r="F16" s="30"/>
      <c r="G16" s="30"/>
      <c r="H16" s="30"/>
      <c r="I16" s="30"/>
      <c r="J16" s="30"/>
      <c r="K16" s="30"/>
      <c r="L16" s="30"/>
      <c r="M16" s="30"/>
      <c r="N16" s="31"/>
    </row>
    <row r="17" spans="1:15" ht="34.950000000000003" customHeight="1" thickBot="1" x14ac:dyDescent="0.3">
      <c r="A17" s="2"/>
      <c r="B17" s="85"/>
      <c r="C17" s="86"/>
      <c r="D17" s="32" t="s">
        <v>34</v>
      </c>
      <c r="E17" s="40" t="s">
        <v>43</v>
      </c>
      <c r="F17" s="33"/>
      <c r="G17" s="33"/>
      <c r="H17" s="33"/>
      <c r="I17" s="33"/>
      <c r="J17" s="34"/>
      <c r="K17" s="34"/>
      <c r="L17" s="34"/>
      <c r="M17" s="34"/>
      <c r="N17" s="35"/>
    </row>
    <row r="18" spans="1:15" ht="14.4" thickBot="1" x14ac:dyDescent="0.3">
      <c r="A18" s="47"/>
      <c r="B18" s="48" t="s">
        <v>58</v>
      </c>
      <c r="C18" s="47"/>
      <c r="D18" s="4"/>
      <c r="E18" s="4"/>
      <c r="I18" s="10"/>
    </row>
    <row r="19" spans="1:15" ht="34.950000000000003" customHeight="1" x14ac:dyDescent="0.25">
      <c r="B19" s="105"/>
      <c r="C19" s="106"/>
      <c r="D19" s="56" t="s">
        <v>40</v>
      </c>
      <c r="E19" s="57" t="s">
        <v>94</v>
      </c>
      <c r="F19" s="58"/>
      <c r="G19" s="58"/>
      <c r="H19" s="58"/>
      <c r="I19" s="58"/>
      <c r="J19" s="58"/>
      <c r="K19" s="58"/>
      <c r="L19" s="58"/>
      <c r="M19" s="58"/>
      <c r="N19" s="59"/>
      <c r="O19" s="42" t="s">
        <v>39</v>
      </c>
    </row>
    <row r="20" spans="1:15" ht="34.950000000000003" customHeight="1" x14ac:dyDescent="0.25">
      <c r="B20" s="97"/>
      <c r="C20" s="98"/>
      <c r="D20" s="26" t="s">
        <v>41</v>
      </c>
      <c r="E20" s="55" t="s">
        <v>95</v>
      </c>
      <c r="F20" s="27"/>
      <c r="G20" s="27"/>
      <c r="H20" s="27"/>
      <c r="I20" s="27"/>
      <c r="J20" s="27"/>
      <c r="K20" s="27"/>
      <c r="L20" s="27"/>
      <c r="M20" s="27"/>
      <c r="N20" s="28"/>
      <c r="O20" s="42"/>
    </row>
    <row r="21" spans="1:15" ht="34.950000000000003" customHeight="1" x14ac:dyDescent="0.25">
      <c r="B21" s="97"/>
      <c r="C21" s="98"/>
      <c r="D21" s="24" t="s">
        <v>42</v>
      </c>
      <c r="E21" s="60" t="s">
        <v>96</v>
      </c>
      <c r="F21" s="61"/>
      <c r="G21" s="61"/>
      <c r="H21" s="61"/>
      <c r="I21" s="61"/>
      <c r="J21" s="61"/>
      <c r="K21" s="61"/>
      <c r="L21" s="61"/>
      <c r="M21" s="61"/>
      <c r="N21" s="62"/>
      <c r="O21" s="42"/>
    </row>
    <row r="22" spans="1:15" s="10" customFormat="1" ht="34.950000000000003" customHeight="1" thickBot="1" x14ac:dyDescent="0.3">
      <c r="B22" s="85"/>
      <c r="C22" s="86"/>
      <c r="D22" s="32" t="s">
        <v>67</v>
      </c>
      <c r="E22" s="40" t="s">
        <v>97</v>
      </c>
      <c r="F22" s="33"/>
      <c r="G22" s="33"/>
      <c r="H22" s="33"/>
      <c r="I22" s="33"/>
      <c r="J22" s="33"/>
      <c r="K22" s="33"/>
      <c r="L22" s="33"/>
      <c r="M22" s="33"/>
      <c r="N22" s="63"/>
      <c r="O22" s="45"/>
    </row>
    <row r="23" spans="1:15" s="2" customFormat="1" x14ac:dyDescent="0.25">
      <c r="B23" s="3"/>
      <c r="C23" s="3"/>
      <c r="D23" s="4"/>
      <c r="E23" s="44"/>
      <c r="F23" s="10"/>
      <c r="G23" s="10"/>
      <c r="H23" s="10"/>
      <c r="I23" s="10"/>
      <c r="J23" s="10"/>
      <c r="K23" s="10"/>
      <c r="L23" s="10"/>
      <c r="M23" s="10"/>
      <c r="N23" s="10"/>
      <c r="O23" s="46"/>
    </row>
    <row r="24" spans="1:15" ht="17.399999999999999" thickBot="1" x14ac:dyDescent="0.45">
      <c r="A24" s="10"/>
      <c r="B24" s="1" t="s">
        <v>6</v>
      </c>
      <c r="D24"/>
      <c r="I24" s="10"/>
    </row>
    <row r="25" spans="1:15" x14ac:dyDescent="0.25">
      <c r="A25" s="10"/>
      <c r="B25" s="87" t="s">
        <v>3</v>
      </c>
      <c r="C25" s="88"/>
      <c r="D25" s="36" t="s">
        <v>7</v>
      </c>
      <c r="E25" s="99" t="s">
        <v>5</v>
      </c>
      <c r="F25" s="100"/>
      <c r="G25" s="100"/>
      <c r="H25" s="100"/>
      <c r="I25" s="100"/>
      <c r="J25" s="100"/>
      <c r="K25" s="100"/>
      <c r="L25" s="100"/>
      <c r="M25" s="101"/>
      <c r="N25" s="68" t="s">
        <v>69</v>
      </c>
    </row>
    <row r="26" spans="1:15" ht="34.950000000000003" customHeight="1" x14ac:dyDescent="0.25">
      <c r="A26" s="10"/>
      <c r="B26" s="89"/>
      <c r="C26" s="90"/>
      <c r="D26" s="37" t="s">
        <v>98</v>
      </c>
      <c r="E26" s="38" t="s">
        <v>104</v>
      </c>
      <c r="F26" s="27"/>
      <c r="G26" s="27"/>
      <c r="H26" s="27"/>
      <c r="I26" s="8"/>
      <c r="J26" s="27"/>
      <c r="K26" s="27"/>
      <c r="L26" s="27"/>
      <c r="M26" s="27"/>
      <c r="N26" s="70">
        <v>44012.546226851853</v>
      </c>
    </row>
    <row r="27" spans="1:15" ht="34.950000000000003" customHeight="1" thickBot="1" x14ac:dyDescent="0.3">
      <c r="A27" s="10"/>
      <c r="B27" s="83"/>
      <c r="C27" s="84"/>
      <c r="D27" s="5" t="s">
        <v>105</v>
      </c>
      <c r="E27" s="39" t="s">
        <v>106</v>
      </c>
      <c r="F27" s="33"/>
      <c r="G27" s="33"/>
      <c r="H27" s="33"/>
      <c r="I27" s="33"/>
      <c r="J27" s="34"/>
      <c r="K27" s="34"/>
      <c r="L27" s="34"/>
      <c r="M27" s="34"/>
      <c r="N27" s="69">
        <v>44012.548148148147</v>
      </c>
    </row>
    <row r="28" spans="1:15" x14ac:dyDescent="0.25">
      <c r="A28" s="2"/>
      <c r="D28"/>
      <c r="F28" s="2"/>
      <c r="G28" s="2"/>
      <c r="H28" s="2"/>
      <c r="I28" s="2"/>
    </row>
    <row r="29" spans="1:15" x14ac:dyDescent="0.25">
      <c r="A29" s="2"/>
      <c r="B29" s="2"/>
      <c r="C29" s="2"/>
      <c r="D29" s="18"/>
      <c r="E29" s="2"/>
      <c r="F29" s="2"/>
      <c r="G29" s="2"/>
      <c r="H29" s="2"/>
      <c r="I29" s="2"/>
    </row>
    <row r="30" spans="1:15" x14ac:dyDescent="0.25">
      <c r="H30" s="6"/>
      <c r="I30" s="11"/>
      <c r="J30" s="11"/>
    </row>
    <row r="31" spans="1:15" x14ac:dyDescent="0.25">
      <c r="H31" s="6"/>
      <c r="I31" s="11"/>
      <c r="J31" s="11"/>
    </row>
    <row r="32" spans="1:15" x14ac:dyDescent="0.25">
      <c r="J32" s="11"/>
    </row>
    <row r="33" spans="8:10" x14ac:dyDescent="0.25">
      <c r="J33" s="7"/>
    </row>
    <row r="34" spans="8:10" x14ac:dyDescent="0.25">
      <c r="J34" s="7"/>
    </row>
    <row r="35" spans="8:10" x14ac:dyDescent="0.25">
      <c r="J35" s="7"/>
    </row>
    <row r="36" spans="8:10" x14ac:dyDescent="0.25">
      <c r="J36" s="7"/>
    </row>
    <row r="37" spans="8:10" x14ac:dyDescent="0.25">
      <c r="J37" s="7"/>
    </row>
    <row r="38" spans="8:10" x14ac:dyDescent="0.25">
      <c r="J38" s="7"/>
    </row>
    <row r="39" spans="8:10" x14ac:dyDescent="0.25">
      <c r="J39" s="7"/>
    </row>
    <row r="40" spans="8:10" x14ac:dyDescent="0.25">
      <c r="H40" s="6"/>
      <c r="I40" s="7"/>
      <c r="J40" s="7"/>
    </row>
    <row r="41" spans="8:10" x14ac:dyDescent="0.25">
      <c r="H41" s="6"/>
      <c r="I41" s="7"/>
      <c r="J41" s="7"/>
    </row>
    <row r="42" spans="8:10" x14ac:dyDescent="0.25">
      <c r="H42" s="6"/>
      <c r="I42" s="7"/>
      <c r="J42" s="7"/>
    </row>
    <row r="43" spans="8:10" x14ac:dyDescent="0.25">
      <c r="H43" s="6"/>
      <c r="I43" s="7"/>
      <c r="J43" s="7"/>
    </row>
    <row r="44" spans="8:10" x14ac:dyDescent="0.25">
      <c r="H44" s="6"/>
      <c r="I44" s="7"/>
      <c r="J44" s="7"/>
    </row>
  </sheetData>
  <mergeCells count="15">
    <mergeCell ref="E25:M25"/>
    <mergeCell ref="E15:N15"/>
    <mergeCell ref="B15:C15"/>
    <mergeCell ref="B19:C19"/>
    <mergeCell ref="B16:C16"/>
    <mergeCell ref="B20:C20"/>
    <mergeCell ref="B27:C27"/>
    <mergeCell ref="B17:C17"/>
    <mergeCell ref="B25:C25"/>
    <mergeCell ref="B26:C26"/>
    <mergeCell ref="B10:D10"/>
    <mergeCell ref="B11:D11"/>
    <mergeCell ref="B12:D12"/>
    <mergeCell ref="B22:C22"/>
    <mergeCell ref="B21:C21"/>
  </mergeCells>
  <phoneticPr fontId="5" type="noConversion"/>
  <dataValidations count="3">
    <dataValidation type="list" allowBlank="1" showInputMessage="1" showErrorMessage="1" sqref="C5:D5" xr:uid="{0C4E2BA6-1CCC-46A6-8E05-8330E977201E}">
      <formula1>"2020,2021,2022"</formula1>
    </dataValidation>
    <dataValidation type="list" allowBlank="1" showInputMessage="1" showErrorMessage="1" sqref="C6:D6" xr:uid="{58F9FE38-FA46-4A0C-A970-C66EF95767B4}">
      <formula1>"01,02,03,04,05,06,07,08,09,10,11,12"</formula1>
    </dataValidation>
    <dataValidation type="list" allowBlank="1" showInputMessage="1" showErrorMessage="1" sqref="C7:D7" xr:uid="{B1AFABC3-2404-40BB-819D-59174DCE2321}">
      <formula1>"01,02,03,04,05,06,07,08,09,10,11,12,13,14,15,16,17,18,19,20,21,22,23,24,25,26,27,28,29,30,31"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2707B-235D-4BBF-A673-5B4D99EDB72A}">
  <sheetPr codeName="Sheet2"/>
  <dimension ref="A1:H5"/>
  <sheetViews>
    <sheetView workbookViewId="0">
      <selection activeCell="H5" sqref="H5"/>
    </sheetView>
  </sheetViews>
  <sheetFormatPr defaultRowHeight="13.8" x14ac:dyDescent="0.25"/>
  <cols>
    <col min="1" max="1" width="18.33203125" customWidth="1"/>
    <col min="2" max="2" width="8.33203125" bestFit="1" customWidth="1"/>
    <col min="3" max="3" width="18.33203125" bestFit="1" customWidth="1"/>
    <col min="4" max="4" width="18" bestFit="1" customWidth="1"/>
    <col min="5" max="5" width="14.6640625" bestFit="1" customWidth="1"/>
    <col min="6" max="6" width="32" bestFit="1" customWidth="1"/>
    <col min="7" max="7" width="10.5546875" bestFit="1" customWidth="1"/>
    <col min="8" max="8" width="33.88671875" bestFit="1" customWidth="1"/>
  </cols>
  <sheetData>
    <row r="1" spans="1:8" ht="30" customHeight="1" x14ac:dyDescent="0.25">
      <c r="A1" s="73" t="s">
        <v>76</v>
      </c>
      <c r="B1" s="74" t="s">
        <v>9</v>
      </c>
      <c r="C1" s="73" t="s">
        <v>79</v>
      </c>
      <c r="D1" s="72" t="s">
        <v>59</v>
      </c>
      <c r="E1" s="73" t="s">
        <v>64</v>
      </c>
      <c r="F1" s="75" t="s">
        <v>65</v>
      </c>
      <c r="G1" s="73" t="s">
        <v>87</v>
      </c>
      <c r="H1" s="72" t="s">
        <v>37</v>
      </c>
    </row>
    <row r="2" spans="1:8" ht="30" customHeight="1" x14ac:dyDescent="0.25">
      <c r="A2" s="73" t="s">
        <v>78</v>
      </c>
      <c r="B2" s="74" t="str">
        <f>VLOOKUP(Tool!D5&amp;Tool!D6,Sheet1!A2:D16,4,0)</f>
        <v>P</v>
      </c>
      <c r="C2" s="73" t="s">
        <v>80</v>
      </c>
      <c r="D2" s="72" t="s">
        <v>60</v>
      </c>
      <c r="E2" s="73" t="s">
        <v>84</v>
      </c>
      <c r="F2" s="74" t="s">
        <v>74</v>
      </c>
      <c r="G2" s="73" t="s">
        <v>88</v>
      </c>
      <c r="H2" s="72" t="s">
        <v>72</v>
      </c>
    </row>
    <row r="3" spans="1:8" ht="30" customHeight="1" x14ac:dyDescent="0.25">
      <c r="A3" s="73" t="s">
        <v>77</v>
      </c>
      <c r="B3" s="74" t="s">
        <v>70</v>
      </c>
      <c r="C3" s="73" t="s">
        <v>81</v>
      </c>
      <c r="D3" s="72" t="s">
        <v>61</v>
      </c>
      <c r="E3" s="73" t="s">
        <v>85</v>
      </c>
      <c r="F3" s="75" t="s">
        <v>66</v>
      </c>
      <c r="G3" s="73" t="s">
        <v>89</v>
      </c>
      <c r="H3" s="72" t="s">
        <v>62</v>
      </c>
    </row>
    <row r="4" spans="1:8" ht="27.6" x14ac:dyDescent="0.25">
      <c r="A4" s="71"/>
      <c r="B4" s="71"/>
      <c r="C4" s="73" t="s">
        <v>82</v>
      </c>
      <c r="D4" s="72" t="s">
        <v>75</v>
      </c>
      <c r="E4" s="73" t="s">
        <v>86</v>
      </c>
      <c r="F4" s="75">
        <v>0</v>
      </c>
      <c r="G4" s="73" t="s">
        <v>90</v>
      </c>
      <c r="H4" s="72" t="s">
        <v>63</v>
      </c>
    </row>
    <row r="5" spans="1:8" ht="27.6" x14ac:dyDescent="0.25">
      <c r="A5" s="71"/>
      <c r="B5" s="71"/>
      <c r="C5" s="73" t="s">
        <v>83</v>
      </c>
      <c r="D5" s="72" t="s">
        <v>71</v>
      </c>
      <c r="E5" s="71"/>
      <c r="F5" s="71"/>
      <c r="G5" s="73" t="s">
        <v>91</v>
      </c>
      <c r="H5" s="72" t="s">
        <v>73</v>
      </c>
    </row>
  </sheetData>
  <phoneticPr fontId="5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4BC2-7888-4B38-A006-B91ED9B30651}">
  <sheetPr codeName="Sheet3"/>
  <dimension ref="A1:D19"/>
  <sheetViews>
    <sheetView workbookViewId="0">
      <selection activeCell="B41" sqref="B41"/>
    </sheetView>
  </sheetViews>
  <sheetFormatPr defaultRowHeight="13.8" x14ac:dyDescent="0.25"/>
  <cols>
    <col min="2" max="2" width="15.109375" customWidth="1"/>
    <col min="3" max="3" width="19.88671875" customWidth="1"/>
    <col min="4" max="4" width="8.88671875" style="13"/>
  </cols>
  <sheetData>
    <row r="1" spans="1:4" x14ac:dyDescent="0.25">
      <c r="A1" s="76" t="s">
        <v>15</v>
      </c>
      <c r="B1" s="76" t="s">
        <v>11</v>
      </c>
      <c r="C1" s="76" t="s">
        <v>13</v>
      </c>
      <c r="D1" s="76"/>
    </row>
    <row r="2" spans="1:4" x14ac:dyDescent="0.25">
      <c r="A2" s="77" t="s">
        <v>19</v>
      </c>
      <c r="B2" s="78"/>
      <c r="C2" s="79"/>
      <c r="D2" s="76"/>
    </row>
    <row r="3" spans="1:4" x14ac:dyDescent="0.25">
      <c r="A3" s="77" t="s">
        <v>20</v>
      </c>
      <c r="B3" s="79"/>
      <c r="C3" s="79"/>
      <c r="D3" s="76"/>
    </row>
    <row r="4" spans="1:4" x14ac:dyDescent="0.25">
      <c r="A4" s="77" t="s">
        <v>21</v>
      </c>
      <c r="B4" s="79"/>
      <c r="C4" s="79"/>
      <c r="D4" s="76"/>
    </row>
    <row r="5" spans="1:4" x14ac:dyDescent="0.25">
      <c r="A5" s="77" t="s">
        <v>22</v>
      </c>
      <c r="B5" s="79">
        <v>43922</v>
      </c>
      <c r="C5" s="79">
        <v>43943</v>
      </c>
      <c r="D5" s="76" t="s">
        <v>45</v>
      </c>
    </row>
    <row r="6" spans="1:4" x14ac:dyDescent="0.25">
      <c r="A6" s="77" t="s">
        <v>23</v>
      </c>
      <c r="B6" s="79">
        <v>43944</v>
      </c>
      <c r="C6" s="79">
        <v>43975</v>
      </c>
      <c r="D6" s="76" t="s">
        <v>46</v>
      </c>
    </row>
    <row r="7" spans="1:4" x14ac:dyDescent="0.25">
      <c r="A7" s="77" t="s">
        <v>24</v>
      </c>
      <c r="B7" s="79">
        <v>43976</v>
      </c>
      <c r="C7" s="79">
        <v>44004</v>
      </c>
      <c r="D7" s="76" t="s">
        <v>49</v>
      </c>
    </row>
    <row r="8" spans="1:4" x14ac:dyDescent="0.25">
      <c r="A8" s="77" t="s">
        <v>25</v>
      </c>
      <c r="B8" s="79">
        <v>44005</v>
      </c>
      <c r="C8" s="79">
        <v>44038</v>
      </c>
      <c r="D8" s="76" t="s">
        <v>47</v>
      </c>
    </row>
    <row r="9" spans="1:4" x14ac:dyDescent="0.25">
      <c r="A9" s="77" t="s">
        <v>26</v>
      </c>
      <c r="B9" s="79">
        <v>44039</v>
      </c>
      <c r="C9" s="79">
        <v>44067</v>
      </c>
      <c r="D9" s="76" t="s">
        <v>48</v>
      </c>
    </row>
    <row r="10" spans="1:4" x14ac:dyDescent="0.25">
      <c r="A10" s="77" t="s">
        <v>27</v>
      </c>
      <c r="B10" s="79">
        <v>44068</v>
      </c>
      <c r="C10" s="79">
        <v>44097</v>
      </c>
      <c r="D10" s="76" t="s">
        <v>50</v>
      </c>
    </row>
    <row r="11" spans="1:4" x14ac:dyDescent="0.25">
      <c r="A11" s="77" t="s">
        <v>28</v>
      </c>
      <c r="B11" s="79">
        <v>44098</v>
      </c>
      <c r="C11" s="79">
        <v>44129</v>
      </c>
      <c r="D11" s="76" t="s">
        <v>51</v>
      </c>
    </row>
    <row r="12" spans="1:4" x14ac:dyDescent="0.25">
      <c r="A12" s="77" t="s">
        <v>29</v>
      </c>
      <c r="B12" s="79">
        <v>44130</v>
      </c>
      <c r="C12" s="79">
        <v>44158</v>
      </c>
      <c r="D12" s="76" t="s">
        <v>52</v>
      </c>
    </row>
    <row r="13" spans="1:4" x14ac:dyDescent="0.25">
      <c r="A13" s="77" t="s">
        <v>30</v>
      </c>
      <c r="B13" s="79">
        <v>44159</v>
      </c>
      <c r="C13" s="79">
        <v>44187</v>
      </c>
      <c r="D13" s="76" t="s">
        <v>53</v>
      </c>
    </row>
    <row r="14" spans="1:4" x14ac:dyDescent="0.25">
      <c r="A14" s="77" t="s">
        <v>31</v>
      </c>
      <c r="B14" s="79">
        <v>44188</v>
      </c>
      <c r="C14" s="79">
        <v>44220</v>
      </c>
      <c r="D14" s="76" t="s">
        <v>54</v>
      </c>
    </row>
    <row r="15" spans="1:4" x14ac:dyDescent="0.25">
      <c r="A15" s="77" t="s">
        <v>32</v>
      </c>
      <c r="B15" s="79">
        <v>43855</v>
      </c>
      <c r="C15" s="79">
        <v>44248</v>
      </c>
      <c r="D15" s="76" t="s">
        <v>55</v>
      </c>
    </row>
    <row r="16" spans="1:4" x14ac:dyDescent="0.25">
      <c r="A16" s="77" t="s">
        <v>33</v>
      </c>
      <c r="B16" s="79">
        <v>44248</v>
      </c>
      <c r="C16" s="79">
        <v>43914</v>
      </c>
      <c r="D16" s="76" t="s">
        <v>56</v>
      </c>
    </row>
    <row r="19" spans="1:4" x14ac:dyDescent="0.25">
      <c r="A19" s="80" t="s">
        <v>92</v>
      </c>
      <c r="B19" s="81"/>
      <c r="C19" s="81"/>
      <c r="D19" s="82"/>
    </row>
  </sheetData>
  <phoneticPr fontId="5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Tool</vt:lpstr>
      <vt:lpstr>Config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Lu, NanNan (BSH) 陆 楠楠</cp:lastModifiedBy>
  <dcterms:created xsi:type="dcterms:W3CDTF">2015-06-05T18:19:34Z</dcterms:created>
  <dcterms:modified xsi:type="dcterms:W3CDTF">2020-06-30T05:09:20Z</dcterms:modified>
</cp:coreProperties>
</file>